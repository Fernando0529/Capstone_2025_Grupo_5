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02\PTY4614 Capstone Informática\Fase 3\PTY4614-001D\"/>
    </mc:Choice>
  </mc:AlternateContent>
  <xr:revisionPtr revIDLastSave="0" documentId="13_ncr:1_{A38B5589-B7B3-470A-A7A3-FA01696509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1" l="1"/>
  <c r="G67" i="1"/>
  <c r="G66" i="1"/>
  <c r="G68" i="1"/>
  <c r="G69" i="1"/>
  <c r="G70" i="1"/>
  <c r="G71" i="1"/>
  <c r="B76" i="1"/>
  <c r="B63" i="1"/>
  <c r="B49" i="1"/>
  <c r="B57" i="1"/>
  <c r="B56" i="1"/>
  <c r="B55" i="1"/>
  <c r="B54" i="1"/>
  <c r="B53" i="1"/>
  <c r="B52" i="1"/>
  <c r="B51" i="1"/>
  <c r="B37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G53" i="1"/>
  <c r="E53" i="1"/>
  <c r="J52" i="1"/>
  <c r="K52" i="1" s="1"/>
  <c r="H52" i="1"/>
  <c r="I52" i="1" s="1"/>
  <c r="F52" i="1"/>
  <c r="G52" i="1" s="1"/>
  <c r="D52" i="1"/>
  <c r="E52" i="1" s="1"/>
  <c r="J51" i="1"/>
  <c r="K51" i="1" s="1"/>
  <c r="K58" i="1" s="1"/>
  <c r="H51" i="1"/>
  <c r="I51" i="1" s="1"/>
  <c r="G51" i="1"/>
  <c r="E51" i="1"/>
  <c r="E58" i="1" l="1"/>
  <c r="I58" i="1"/>
  <c r="G58" i="1"/>
  <c r="C58" i="1" s="1"/>
  <c r="C59" i="1" s="1"/>
  <c r="B79" i="1" l="1"/>
  <c r="B80" i="1"/>
  <c r="B81" i="1"/>
  <c r="B82" i="1"/>
  <c r="B83" i="1"/>
  <c r="B84" i="1"/>
  <c r="B78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E80" i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G78" i="1"/>
  <c r="E78" i="1"/>
  <c r="B24" i="1"/>
  <c r="B11" i="1"/>
  <c r="B66" i="1"/>
  <c r="B67" i="1"/>
  <c r="B68" i="1"/>
  <c r="B69" i="1"/>
  <c r="B70" i="1"/>
  <c r="B71" i="1"/>
  <c r="B65" i="1"/>
  <c r="J71" i="1"/>
  <c r="K71" i="1" s="1"/>
  <c r="H71" i="1"/>
  <c r="I71" i="1" s="1"/>
  <c r="F71" i="1"/>
  <c r="D71" i="1"/>
  <c r="E71" i="1" s="1"/>
  <c r="J70" i="1"/>
  <c r="K70" i="1" s="1"/>
  <c r="H70" i="1"/>
  <c r="I70" i="1" s="1"/>
  <c r="F70" i="1"/>
  <c r="D70" i="1"/>
  <c r="E70" i="1" s="1"/>
  <c r="J69" i="1"/>
  <c r="K69" i="1" s="1"/>
  <c r="H69" i="1"/>
  <c r="I69" i="1" s="1"/>
  <c r="F69" i="1"/>
  <c r="D69" i="1"/>
  <c r="E69" i="1" s="1"/>
  <c r="J68" i="1"/>
  <c r="K68" i="1" s="1"/>
  <c r="H68" i="1"/>
  <c r="I68" i="1" s="1"/>
  <c r="F68" i="1"/>
  <c r="D68" i="1"/>
  <c r="E68" i="1" s="1"/>
  <c r="J67" i="1"/>
  <c r="K67" i="1" s="1"/>
  <c r="H67" i="1"/>
  <c r="I67" i="1" s="1"/>
  <c r="E67" i="1"/>
  <c r="J66" i="1"/>
  <c r="K66" i="1" s="1"/>
  <c r="H66" i="1"/>
  <c r="I66" i="1" s="1"/>
  <c r="F66" i="1"/>
  <c r="D66" i="1"/>
  <c r="E66" i="1" s="1"/>
  <c r="J65" i="1"/>
  <c r="K65" i="1" s="1"/>
  <c r="H65" i="1"/>
  <c r="I65" i="1" s="1"/>
  <c r="G65" i="1"/>
  <c r="E65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G41" i="1"/>
  <c r="E41" i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G39" i="1"/>
  <c r="E39" i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G28" i="1"/>
  <c r="E28" i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G26" i="1"/>
  <c r="E26" i="1"/>
  <c r="E85" i="1" l="1"/>
  <c r="G46" i="1"/>
  <c r="E33" i="1"/>
  <c r="G33" i="1"/>
  <c r="G85" i="1"/>
  <c r="I85" i="1"/>
  <c r="K85" i="1"/>
  <c r="E72" i="1"/>
  <c r="K72" i="1"/>
  <c r="G72" i="1"/>
  <c r="I72" i="1"/>
  <c r="K46" i="1"/>
  <c r="I46" i="1"/>
  <c r="E46" i="1"/>
  <c r="I33" i="1"/>
  <c r="K33" i="1"/>
  <c r="C33" i="1" l="1"/>
  <c r="C34" i="1" s="1"/>
  <c r="C5" i="1" s="1"/>
  <c r="C46" i="1"/>
  <c r="C47" i="1" s="1"/>
  <c r="C6" i="1" s="1"/>
  <c r="C85" i="1"/>
  <c r="C86" i="1" s="1"/>
  <c r="C72" i="1"/>
  <c r="C73" i="1" s="1"/>
  <c r="D4" i="1" s="1"/>
  <c r="D5" i="1" l="1"/>
  <c r="D6" i="1"/>
  <c r="E6" i="1" s="1"/>
  <c r="B14" i="1"/>
  <c r="B15" i="1"/>
  <c r="B16" i="1"/>
  <c r="B17" i="1"/>
  <c r="B18" i="1"/>
  <c r="B19" i="1"/>
  <c r="E13" i="1" l="1"/>
  <c r="D14" i="1"/>
  <c r="E14" i="1" s="1"/>
  <c r="E15" i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G15" i="1"/>
  <c r="J14" i="1"/>
  <c r="H14" i="1"/>
  <c r="I14" i="1" s="1"/>
  <c r="F14" i="1"/>
  <c r="G14" i="1" s="1"/>
  <c r="J13" i="1"/>
  <c r="K13" i="1" s="1"/>
  <c r="H13" i="1"/>
  <c r="I13" i="1" s="1"/>
  <c r="G13" i="1"/>
  <c r="E20" i="1" l="1"/>
  <c r="G20" i="1"/>
  <c r="I20" i="1"/>
  <c r="K14" i="1"/>
  <c r="K20" i="1" l="1"/>
  <c r="C20" i="1" s="1"/>
  <c r="C21" i="1" s="1"/>
  <c r="C4" i="1" s="1"/>
  <c r="E5" i="1" l="1"/>
  <c r="E4" i="1"/>
</calcChain>
</file>

<file path=xl/sharedStrings.xml><?xml version="1.0" encoding="utf-8"?>
<sst xmlns="http://schemas.openxmlformats.org/spreadsheetml/2006/main" count="176" uniqueCount="67">
  <si>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</si>
  <si>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</si>
  <si>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</si>
  <si>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</si>
  <si>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</si>
  <si>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</si>
  <si>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</si>
  <si>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</si>
  <si>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</si>
  <si>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</si>
  <si>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</si>
  <si>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</si>
  <si>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</si>
  <si>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</si>
  <si>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</si>
  <si>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</si>
  <si>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</si>
  <si>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</si>
  <si>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</si>
  <si>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</si>
  <si>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</si>
  <si>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</si>
  <si>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</si>
  <si>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</si>
  <si>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</si>
  <si>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</si>
  <si>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</si>
  <si>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</si>
  <si>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</si>
  <si>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</si>
  <si>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</si>
  <si>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</si>
  <si>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</si>
  <si>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</si>
  <si>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</si>
  <si>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</si>
  <si>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</si>
  <si>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</si>
  <si>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</si>
  <si>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</si>
  <si>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</si>
  <si>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</si>
  <si>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</si>
  <si>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</si>
  <si>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</si>
  <si>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</si>
  <si>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</si>
  <si>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</si>
  <si>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</si>
  <si>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</si>
  <si>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</si>
  <si>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</si>
  <si>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</si>
  <si>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</si>
  <si>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</si>
  <si>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</si>
  <si>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</si>
  <si>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</si>
  <si>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</si>
  <si>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</si>
  <si>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</si>
  <si>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</si>
  <si>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</si>
  <si>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X</t>
  </si>
  <si>
    <t>AXEL IGNACIO ELGUETA TAPIA</t>
  </si>
  <si>
    <t>FERNANDO IGNACIO MORALES GALLARDO</t>
  </si>
  <si>
    <t>IGNACIO ANDRES MORALES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</si>
</sst>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 textRotation="255"/>
    </xf>
    <xf numFmtId="0" fontId="16" fillId="4" borderId="17" xfId="0" applyFont="1" applyFill="1" applyBorder="1" applyAlignment="1">
      <alignment horizontal="center" vertical="center" textRotation="255"/>
    </xf>
    <xf numFmtId="0" fontId="16" fillId="4" borderId="25" xfId="0" applyFont="1" applyFill="1" applyBorder="1" applyAlignment="1">
      <alignment horizontal="center" vertical="center" textRotation="255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84"/>
  <sheetViews>
    <sheetView tabSelected="1" zoomScale="85" zoomScaleNormal="85" workbookViewId="0">
      <selection activeCell="B15" sqref="B15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64</v>
      </c>
      <c r="C4" s="31">
        <f>C21</f>
        <v>6</v>
      </c>
      <c r="D4" s="37">
        <f>C73</f>
        <v>6</v>
      </c>
      <c r="E4" s="36">
        <f>C4*C$2+D4*D$2</f>
        <v>5.9999999999999991</v>
      </c>
    </row>
    <row r="5" spans="1:11" ht="14.4" x14ac:dyDescent="0.3">
      <c r="A5" s="3">
        <v>2</v>
      </c>
      <c r="B5" s="16" t="s">
        <v>65</v>
      </c>
      <c r="C5" s="31">
        <f>C34</f>
        <v>6</v>
      </c>
      <c r="D5" s="37">
        <f>C86</f>
        <v>6</v>
      </c>
      <c r="E5" s="36">
        <f t="shared" ref="E5:E6" si="0">C5*C$2+D5*D$2</f>
        <v>5.9999999999999991</v>
      </c>
    </row>
    <row r="6" spans="1:11" ht="14.4" x14ac:dyDescent="0.3">
      <c r="A6" s="3">
        <v>3</v>
      </c>
      <c r="B6" s="16" t="s">
        <v>66</v>
      </c>
      <c r="C6" s="31">
        <f>C47</f>
        <v>6</v>
      </c>
      <c r="D6" s="37">
        <f>C86</f>
        <v>6</v>
      </c>
      <c r="E6" s="36">
        <f t="shared" si="0"/>
        <v>5.9999999999999991</v>
      </c>
    </row>
    <row r="7" spans="1:11" ht="14.4" x14ac:dyDescent="0.3">
      <c r="A7" s="3"/>
      <c r="B7" s="16"/>
      <c r="C7" s="31"/>
      <c r="D7" s="37"/>
      <c r="E7" s="36"/>
    </row>
    <row r="11" spans="1:11" ht="18" outlineLevel="1" x14ac:dyDescent="0.3">
      <c r="A11" s="51" t="s">
        <v>4</v>
      </c>
      <c r="B11" s="11" t="str">
        <f>B4</f>
        <v>AXEL IGNACIO ELGUETA TAPIA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3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/>
      <c r="E13" s="12" t="str">
        <f>IF(D13="X",100*0.15,"")</f>
        <v/>
      </c>
      <c r="F13" s="12" t="s">
        <v>63</v>
      </c>
      <c r="G13" s="12">
        <f>IF(F13="X",60*0.15,"")</f>
        <v>9</v>
      </c>
      <c r="H13" s="12" t="str">
        <f t="shared" ref="H13:H17" si="1">IF($C13=ML,"X","")</f>
        <v/>
      </c>
      <c r="I13" s="12" t="str">
        <f>IF(H13="X",30*0.15,"")</f>
        <v/>
      </c>
      <c r="J13" s="12" t="str">
        <f t="shared" ref="J13:J17" si="2">IF($C13=NL,"X","")</f>
        <v/>
      </c>
      <c r="K13" s="12" t="str">
        <f t="shared" ref="K13:K17" si="3">IF($J13="X",0,"")</f>
        <v/>
      </c>
    </row>
    <row r="14" spans="1:11" ht="26.4" customHeight="1" outlineLevel="1" x14ac:dyDescent="0.3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tr">
        <f t="shared" ref="D13:D17" si="4">IF($C14=CL,"X","")</f>
        <v>X</v>
      </c>
      <c r="E14" s="12">
        <f>IF(D14="X",100*0.25,"")</f>
        <v>25</v>
      </c>
      <c r="F14" s="12" t="str">
        <f t="shared" ref="F13:F17" si="5">IF($C14=L,"X","")</f>
        <v/>
      </c>
      <c r="G14" s="12" t="str">
        <f>IF(F14="X",60*0.25,"")</f>
        <v/>
      </c>
      <c r="H14" s="12" t="str">
        <f t="shared" si="1"/>
        <v/>
      </c>
      <c r="I14" s="12" t="str">
        <f>IF(H14="X",30*0.25,"")</f>
        <v/>
      </c>
      <c r="J14" s="12" t="str">
        <f t="shared" si="2"/>
        <v/>
      </c>
      <c r="K14" s="12" t="str">
        <f t="shared" si="3"/>
        <v/>
      </c>
    </row>
    <row r="15" spans="1:11" ht="24" outlineLevel="1" x14ac:dyDescent="0.3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/>
      <c r="E15" s="12" t="str">
        <f>IF(D15="X",100*0.2,"")</f>
        <v/>
      </c>
      <c r="F15" s="12" t="s">
        <v>63</v>
      </c>
      <c r="G15" s="12">
        <f>IF(F15="X",60*0.2,"")</f>
        <v>12</v>
      </c>
      <c r="H15" s="12" t="str">
        <f t="shared" si="1"/>
        <v/>
      </c>
      <c r="I15" s="12" t="str">
        <f>IF(H15="X",30*0.2,"")</f>
        <v/>
      </c>
      <c r="J15" s="12" t="str">
        <f t="shared" si="2"/>
        <v/>
      </c>
      <c r="K15" s="12" t="str">
        <f t="shared" si="3"/>
        <v/>
      </c>
    </row>
    <row r="16" spans="1:11" ht="24" outlineLevel="1" x14ac:dyDescent="0.3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tr">
        <f t="shared" si="4"/>
        <v>X</v>
      </c>
      <c r="E16" s="12">
        <f>IF(D16="X",100*0.05,"")</f>
        <v>5</v>
      </c>
      <c r="F16" s="12" t="str">
        <f t="shared" si="5"/>
        <v/>
      </c>
      <c r="G16" s="12" t="str">
        <f>IF(F16="X",60*0.05,"")</f>
        <v/>
      </c>
      <c r="H16" s="12" t="str">
        <f t="shared" si="1"/>
        <v/>
      </c>
      <c r="I16" s="12" t="str">
        <f>IF(H16="X",30*0.05,"")</f>
        <v/>
      </c>
      <c r="J16" s="12" t="str">
        <f t="shared" si="2"/>
        <v/>
      </c>
      <c r="K16" s="12" t="str">
        <f t="shared" si="3"/>
        <v/>
      </c>
    </row>
    <row r="17" spans="1:11" ht="24" outlineLevel="1" x14ac:dyDescent="0.3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 t="str">
        <f t="shared" si="4"/>
        <v>X</v>
      </c>
      <c r="E17" s="12">
        <f>IF(D17="X",100*0.05,"")</f>
        <v>5</v>
      </c>
      <c r="F17" s="12" t="str">
        <f t="shared" si="5"/>
        <v/>
      </c>
      <c r="G17" s="12" t="str">
        <f>IF(F17="X",60*0.05,"")</f>
        <v/>
      </c>
      <c r="H17" s="12" t="str">
        <f t="shared" si="1"/>
        <v/>
      </c>
      <c r="I17" s="12" t="str">
        <f>IF(H17="X",30*0.05,"")</f>
        <v/>
      </c>
      <c r="J17" s="12" t="str">
        <f t="shared" si="2"/>
        <v/>
      </c>
      <c r="K17" s="12" t="str">
        <f t="shared" si="3"/>
        <v/>
      </c>
    </row>
    <row r="18" spans="1:11" ht="24" outlineLevel="1" x14ac:dyDescent="0.3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3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5">
      <c r="A20" s="40"/>
      <c r="B20" s="18" t="s">
        <v>12</v>
      </c>
      <c r="C20" s="22">
        <f>E20+G20+I20+K20</f>
        <v>86</v>
      </c>
      <c r="D20" s="13"/>
      <c r="E20" s="13">
        <f>SUM(E13:E19)</f>
        <v>65</v>
      </c>
      <c r="F20" s="13"/>
      <c r="G20" s="13">
        <f>SUM(G13:G19)</f>
        <v>21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5">
      <c r="A21" s="42"/>
      <c r="B21" s="21" t="s">
        <v>13</v>
      </c>
      <c r="C21" s="14">
        <f>VLOOKUP(C20,ESCALA_IEP!A2:B202,2,FALSE)</f>
        <v>6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51" t="s">
        <v>4</v>
      </c>
      <c r="B24" s="11" t="str">
        <f>B5</f>
        <v>FERNANDO IGNACIO MORALES GALLARDO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3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/>
      <c r="E26" s="12" t="str">
        <f>IF(D26="X",100*0.15,"")</f>
        <v/>
      </c>
      <c r="F26" s="12" t="s">
        <v>63</v>
      </c>
      <c r="G26" s="12">
        <f>IF(F26="X",60*0.15,"")</f>
        <v>9</v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3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tr">
        <f t="shared" ref="D26:D30" si="10">IF($C27=CL,"X","")</f>
        <v>X</v>
      </c>
      <c r="E27" s="12">
        <f>IF(D27="X",100*0.25,"")</f>
        <v>25</v>
      </c>
      <c r="F27" s="12" t="str">
        <f t="shared" ref="F26:F30" si="11">IF($C27=L,"X","")</f>
        <v/>
      </c>
      <c r="G27" s="12" t="str">
        <f>IF(F27="X",60*0.25,"")</f>
        <v/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3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/>
      <c r="E28" s="12" t="str">
        <f>IF(D28="X",100*0.2,"")</f>
        <v/>
      </c>
      <c r="F28" s="12" t="s">
        <v>63</v>
      </c>
      <c r="G28" s="12">
        <f>IF(F28="X",60*0.2,"")</f>
        <v>12</v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3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tr">
        <f t="shared" si="10"/>
        <v>X</v>
      </c>
      <c r="E29" s="12">
        <f>IF(D29="X",100*0.05,"")</f>
        <v>5</v>
      </c>
      <c r="F29" s="12" t="str">
        <f t="shared" si="11"/>
        <v/>
      </c>
      <c r="G29" s="12" t="str">
        <f>IF(F29="X",60*0.05,"")</f>
        <v/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3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 t="str">
        <f t="shared" si="10"/>
        <v>X</v>
      </c>
      <c r="E30" s="12">
        <f>IF(D30="X",100*0.05,"")</f>
        <v>5</v>
      </c>
      <c r="F30" s="12" t="str">
        <f t="shared" si="11"/>
        <v/>
      </c>
      <c r="G30" s="12" t="str">
        <f>IF(F30="X",60*0.05,"")</f>
        <v/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3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3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5">
      <c r="A33" s="40"/>
      <c r="B33" s="18" t="s">
        <v>12</v>
      </c>
      <c r="C33" s="22">
        <f>E33+G33+I33+K33</f>
        <v>86</v>
      </c>
      <c r="D33" s="13"/>
      <c r="E33" s="13">
        <f>SUM(E26:E32)</f>
        <v>65</v>
      </c>
      <c r="F33" s="13"/>
      <c r="G33" s="13">
        <f>SUM(G26:G32)</f>
        <v>21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5">
      <c r="A34" s="42"/>
      <c r="B34" s="21" t="s">
        <v>13</v>
      </c>
      <c r="C34" s="14">
        <f>VLOOKUP(C33,ESCALA_IEP!A15:B215,2,FALSE)</f>
        <v>6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51" t="s">
        <v>4</v>
      </c>
      <c r="B37" s="11" t="str">
        <f>B6</f>
        <v>IGNACIO ANDRES MORALES GONZALEZ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3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">
        <v>63</v>
      </c>
      <c r="G39" s="12">
        <f>IF(F39="X",60*0.15,"")</f>
        <v>9</v>
      </c>
      <c r="H39" s="12" t="str">
        <f t="shared" ref="H39:H43" si="12">IF($C39=ML,"X","")</f>
        <v/>
      </c>
      <c r="I39" s="12" t="str">
        <f>IF(H39="X",30*0.15,"")</f>
        <v/>
      </c>
      <c r="J39" s="12" t="str">
        <f t="shared" ref="J39:J43" si="13">IF($C39=NL,"X","")</f>
        <v/>
      </c>
      <c r="K39" s="12" t="str">
        <f t="shared" ref="K39:K45" si="14">IF($J39="X",0,"")</f>
        <v/>
      </c>
    </row>
    <row r="40" spans="1:11" ht="24" customHeight="1" x14ac:dyDescent="0.3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 t="str">
        <f t="shared" ref="D39:D43" si="15">IF($C40=CL,"X","")</f>
        <v>X</v>
      </c>
      <c r="E40" s="12">
        <f>IF(D40="X",100*0.25,"")</f>
        <v>25</v>
      </c>
      <c r="F40" s="12" t="str">
        <f t="shared" ref="F39:F43" si="16">IF($C40=L,"X","")</f>
        <v/>
      </c>
      <c r="G40" s="12" t="str">
        <f>IF(F40="X",60*0.25,"")</f>
        <v/>
      </c>
      <c r="H40" s="12" t="str">
        <f t="shared" si="12"/>
        <v/>
      </c>
      <c r="I40" s="12" t="str">
        <f>IF(H40="X",30*0.25,"")</f>
        <v/>
      </c>
      <c r="J40" s="12" t="str">
        <f t="shared" si="13"/>
        <v/>
      </c>
      <c r="K40" s="12" t="str">
        <f t="shared" si="14"/>
        <v/>
      </c>
    </row>
    <row r="41" spans="1:11" ht="24" customHeight="1" x14ac:dyDescent="0.3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">
        <v>63</v>
      </c>
      <c r="G41" s="12">
        <f>IF(F41="X",60*0.2,"")</f>
        <v>12</v>
      </c>
      <c r="H41" s="12" t="str">
        <f t="shared" si="12"/>
        <v/>
      </c>
      <c r="I41" s="12" t="str">
        <f>IF(H41="X",30*0.2,"")</f>
        <v/>
      </c>
      <c r="J41" s="12" t="str">
        <f t="shared" si="13"/>
        <v/>
      </c>
      <c r="K41" s="12" t="str">
        <f t="shared" si="14"/>
        <v/>
      </c>
    </row>
    <row r="42" spans="1:11" ht="24" customHeight="1" x14ac:dyDescent="0.3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 t="str">
        <f t="shared" si="15"/>
        <v>X</v>
      </c>
      <c r="E42" s="12">
        <f>IF(D42="X",100*0.05,"")</f>
        <v>5</v>
      </c>
      <c r="F42" s="12" t="str">
        <f t="shared" si="16"/>
        <v/>
      </c>
      <c r="G42" s="12" t="str">
        <f>IF(F42="X",60*0.05,"")</f>
        <v/>
      </c>
      <c r="H42" s="12" t="str">
        <f t="shared" si="12"/>
        <v/>
      </c>
      <c r="I42" s="12" t="str">
        <f>IF(H42="X",30*0.05,"")</f>
        <v/>
      </c>
      <c r="J42" s="12" t="str">
        <f t="shared" si="13"/>
        <v/>
      </c>
      <c r="K42" s="12" t="str">
        <f t="shared" si="14"/>
        <v/>
      </c>
    </row>
    <row r="43" spans="1:11" ht="24" customHeight="1" x14ac:dyDescent="0.3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 t="str">
        <f t="shared" si="15"/>
        <v>X</v>
      </c>
      <c r="E43" s="12">
        <f>IF(D43="X",100*0.05,"")</f>
        <v>5</v>
      </c>
      <c r="F43" s="12" t="str">
        <f t="shared" si="16"/>
        <v/>
      </c>
      <c r="G43" s="12" t="str">
        <f>IF(F43="X",60*0.05,"")</f>
        <v/>
      </c>
      <c r="H43" s="12" t="str">
        <f t="shared" si="12"/>
        <v/>
      </c>
      <c r="I43" s="12" t="str">
        <f>IF(H43="X",30*0.05,"")</f>
        <v/>
      </c>
      <c r="J43" s="12" t="str">
        <f t="shared" si="13"/>
        <v/>
      </c>
      <c r="K43" s="12" t="str">
        <f t="shared" si="14"/>
        <v/>
      </c>
    </row>
    <row r="44" spans="1:11" ht="24" customHeight="1" x14ac:dyDescent="0.3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4"/>
        <v/>
      </c>
    </row>
    <row r="45" spans="1:11" ht="24" customHeight="1" x14ac:dyDescent="0.3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4"/>
        <v/>
      </c>
    </row>
    <row r="46" spans="1:11" ht="24" customHeight="1" x14ac:dyDescent="0.35">
      <c r="A46" s="40"/>
      <c r="B46" s="18" t="s">
        <v>12</v>
      </c>
      <c r="C46" s="22">
        <f>E46+G46+I46+K46</f>
        <v>86</v>
      </c>
      <c r="D46" s="13"/>
      <c r="E46" s="13">
        <f>SUM(E39:E45)</f>
        <v>65</v>
      </c>
      <c r="F46" s="13"/>
      <c r="G46" s="13">
        <f>SUM(G39:G45)</f>
        <v>21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5">
      <c r="A47" s="42"/>
      <c r="B47" s="21" t="s">
        <v>13</v>
      </c>
      <c r="C47" s="14">
        <f>VLOOKUP(C46,ESCALA_IEP!A28:B228,2,FALSE)</f>
        <v>6</v>
      </c>
    </row>
    <row r="48" spans="1:11" ht="15.75" customHeight="1" x14ac:dyDescent="0.3"/>
    <row r="49" spans="1:11" ht="15.75" customHeight="1" x14ac:dyDescent="0.3">
      <c r="A49" s="48" t="s">
        <v>14</v>
      </c>
      <c r="B49" s="11" t="str">
        <f>B4</f>
        <v>AXEL IGNACIO ELGUETA TAPIA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15.75" customHeight="1" x14ac:dyDescent="0.3">
      <c r="A50" s="49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9.4" customHeight="1" x14ac:dyDescent="0.3">
      <c r="A51" s="49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8</v>
      </c>
      <c r="D51" s="12"/>
      <c r="E51" s="12" t="str">
        <f>IF(D51="X",100*0.15,"")</f>
        <v/>
      </c>
      <c r="F51" s="12" t="s">
        <v>63</v>
      </c>
      <c r="G51" s="12">
        <f>IF(F51="X",60*0.15,"")</f>
        <v>9</v>
      </c>
      <c r="H51" s="12" t="str">
        <f t="shared" ref="H51:H55" si="17">IF($C51=ML,"X","")</f>
        <v/>
      </c>
      <c r="I51" s="12" t="str">
        <f>IF(H51="X",30*0.15,"")</f>
        <v/>
      </c>
      <c r="J51" s="12" t="str">
        <f t="shared" ref="J51:J55" si="18">IF($C51=NL,"X","")</f>
        <v/>
      </c>
      <c r="K51" s="12" t="str">
        <f t="shared" ref="K51:K57" si="19">IF($J51="X",0,"")</f>
        <v/>
      </c>
    </row>
    <row r="52" spans="1:11" ht="36.6" customHeight="1" x14ac:dyDescent="0.3">
      <c r="A52" s="49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ref="D51:D55" si="20">IF($C52=CL,"X","")</f>
        <v>X</v>
      </c>
      <c r="E52" s="12">
        <f>IF(D52="X",100*0.25,"")</f>
        <v>25</v>
      </c>
      <c r="F52" s="12" t="str">
        <f t="shared" ref="F51:F55" si="21">IF($C52=L,"X","")</f>
        <v/>
      </c>
      <c r="G52" s="12" t="str">
        <f>IF(F52="X",60*0.25,"")</f>
        <v/>
      </c>
      <c r="H52" s="12" t="str">
        <f t="shared" si="17"/>
        <v/>
      </c>
      <c r="I52" s="12" t="str">
        <f>IF(H52="X",30*0.25,"")</f>
        <v/>
      </c>
      <c r="J52" s="12" t="str">
        <f t="shared" si="18"/>
        <v/>
      </c>
      <c r="K52" s="12" t="str">
        <f t="shared" si="19"/>
        <v/>
      </c>
    </row>
    <row r="53" spans="1:11" ht="27.6" customHeight="1" x14ac:dyDescent="0.3">
      <c r="A53" s="49"/>
      <c r="B53" s="19" t="str">
        <f>RUBRICA!A6</f>
        <v>3. Responde las preguntas realizadas por la comisión, cumpliendo con los estándares de calidad de la disciplina.</v>
      </c>
      <c r="C53" s="17" t="s">
        <v>8</v>
      </c>
      <c r="D53" s="12"/>
      <c r="E53" s="12" t="str">
        <f>IF(D53="X",100*0.2,"")</f>
        <v/>
      </c>
      <c r="F53" s="12" t="s">
        <v>63</v>
      </c>
      <c r="G53" s="12">
        <f>IF(F53="X",60*0.2,"")</f>
        <v>12</v>
      </c>
      <c r="H53" s="12" t="str">
        <f t="shared" si="17"/>
        <v/>
      </c>
      <c r="I53" s="12" t="str">
        <f>IF(H53="X",30*0.2,"")</f>
        <v/>
      </c>
      <c r="J53" s="12" t="str">
        <f t="shared" si="18"/>
        <v/>
      </c>
      <c r="K53" s="12" t="str">
        <f t="shared" si="19"/>
        <v/>
      </c>
    </row>
    <row r="54" spans="1:11" ht="35.4" customHeight="1" x14ac:dyDescent="0.3">
      <c r="A54" s="49"/>
      <c r="B54" s="19" t="str">
        <f>RUBRICA!A7</f>
        <v>4. Expone el Proyecto APT, considerando el formato y el tiempo establecido para la presentación.</v>
      </c>
      <c r="C54" s="17" t="s">
        <v>8</v>
      </c>
      <c r="D54" s="12" t="str">
        <f t="shared" si="20"/>
        <v>X</v>
      </c>
      <c r="E54" s="12">
        <f>IF(D54="X",100*0.05,"")</f>
        <v>5</v>
      </c>
      <c r="F54" s="12" t="str">
        <f t="shared" si="21"/>
        <v/>
      </c>
      <c r="G54" s="12" t="str">
        <f>IF(F54="X",60*0.05,"")</f>
        <v/>
      </c>
      <c r="H54" s="12" t="str">
        <f t="shared" si="17"/>
        <v/>
      </c>
      <c r="I54" s="12" t="str">
        <f>IF(H54="X",30*0.05,"")</f>
        <v/>
      </c>
      <c r="J54" s="12" t="str">
        <f t="shared" si="18"/>
        <v/>
      </c>
      <c r="K54" s="12" t="str">
        <f t="shared" si="19"/>
        <v/>
      </c>
    </row>
    <row r="55" spans="1:11" ht="30.6" customHeight="1" x14ac:dyDescent="0.3">
      <c r="A55" s="49"/>
      <c r="B55" s="19" t="str">
        <f>RUBRICA!A8</f>
        <v>5. Expresa sus ideas con fluidez, claridad y precisión, utilizando lenguaje técnico propio de la disciplina.</v>
      </c>
      <c r="C55" s="17" t="s">
        <v>8</v>
      </c>
      <c r="D55" s="12" t="str">
        <f t="shared" si="20"/>
        <v>X</v>
      </c>
      <c r="E55" s="12">
        <f>IF(D55="X",100*0.05,"")</f>
        <v>5</v>
      </c>
      <c r="F55" s="12" t="str">
        <f t="shared" si="21"/>
        <v/>
      </c>
      <c r="G55" s="12" t="str">
        <f>IF(F55="X",60*0.05,"")</f>
        <v/>
      </c>
      <c r="H55" s="12" t="str">
        <f t="shared" si="17"/>
        <v/>
      </c>
      <c r="I55" s="12" t="str">
        <f>IF(H55="X",30*0.05,"")</f>
        <v/>
      </c>
      <c r="J55" s="12" t="str">
        <f t="shared" si="18"/>
        <v/>
      </c>
      <c r="K55" s="12" t="str">
        <f t="shared" si="19"/>
        <v/>
      </c>
    </row>
    <row r="56" spans="1:11" ht="29.4" customHeight="1" x14ac:dyDescent="0.3">
      <c r="A56" s="49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8</v>
      </c>
      <c r="D56" s="12" t="str">
        <f>IF($C56=CL,"X","")</f>
        <v>X</v>
      </c>
      <c r="E56" s="12">
        <f>IF(D56="X",100*0.2,"")</f>
        <v>20</v>
      </c>
      <c r="F56" s="12" t="str">
        <f>IF($C56=L,"X","")</f>
        <v/>
      </c>
      <c r="G56" s="12" t="str">
        <f>IF(F56="X",60*0.2,"")</f>
        <v/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19"/>
        <v/>
      </c>
    </row>
    <row r="57" spans="1:11" ht="30" customHeight="1" x14ac:dyDescent="0.3">
      <c r="A57" s="49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19"/>
        <v/>
      </c>
    </row>
    <row r="58" spans="1:11" ht="15.75" customHeight="1" x14ac:dyDescent="0.35">
      <c r="A58" s="49"/>
      <c r="B58" s="18" t="s">
        <v>12</v>
      </c>
      <c r="C58" s="22">
        <f>E58+G58+I58+K58</f>
        <v>86</v>
      </c>
      <c r="D58" s="13"/>
      <c r="E58" s="13">
        <f>SUM(E51:E57)</f>
        <v>65</v>
      </c>
      <c r="F58" s="13"/>
      <c r="G58" s="13">
        <f>SUM(G51:G57)</f>
        <v>21</v>
      </c>
      <c r="H58" s="13"/>
      <c r="I58" s="13">
        <f>SUM(I51:I57)</f>
        <v>0</v>
      </c>
      <c r="J58" s="13"/>
      <c r="K58" s="13">
        <f>SUM(K51:K57)</f>
        <v>0</v>
      </c>
    </row>
    <row r="59" spans="1:11" ht="27.6" customHeight="1" x14ac:dyDescent="0.35">
      <c r="A59" s="50"/>
      <c r="B59" s="21" t="s">
        <v>13</v>
      </c>
      <c r="C59" s="14">
        <f>VLOOKUP(C58,ESCALA_IEP!A40:B240,2,FALSE)</f>
        <v>6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24" customHeight="1" x14ac:dyDescent="0.3">
      <c r="A63" s="48" t="s">
        <v>15</v>
      </c>
      <c r="B63" s="11" t="str">
        <f>B5</f>
        <v>FERNANDO IGNACIO MORALES GALLARDO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9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3">
      <c r="A65" s="49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/>
      <c r="E65" s="12" t="str">
        <f>IF(D65="X",100*0.15,"")</f>
        <v/>
      </c>
      <c r="F65" s="12" t="s">
        <v>63</v>
      </c>
      <c r="G65" s="12">
        <f>IF(F65="X",60*0.15,"")</f>
        <v>9</v>
      </c>
      <c r="H65" s="12" t="str">
        <f t="shared" ref="H65:H71" si="22">IF($C65=ML,"X","")</f>
        <v/>
      </c>
      <c r="I65" s="12" t="str">
        <f>IF(H65="X",30*0.15,"")</f>
        <v/>
      </c>
      <c r="J65" s="12" t="str">
        <f t="shared" ref="J65:J71" si="23">IF($C65=NL,"X","")</f>
        <v/>
      </c>
      <c r="K65" s="12" t="str">
        <f t="shared" ref="K65:K71" si="24">IF($J65="X",0,"")</f>
        <v/>
      </c>
    </row>
    <row r="66" spans="1:11" ht="24" customHeight="1" x14ac:dyDescent="0.3">
      <c r="A66" s="49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tr">
        <f t="shared" ref="D65:D71" si="25">IF($C66=CL,"X","")</f>
        <v>X</v>
      </c>
      <c r="E66" s="12">
        <f>IF(D66="X",100*0.25,"")</f>
        <v>25</v>
      </c>
      <c r="F66" s="12" t="str">
        <f t="shared" ref="F65:F71" si="26">IF($C66=L,"X","")</f>
        <v/>
      </c>
      <c r="G66" s="12" t="str">
        <f>IF(F66="X",60*0.25,"")</f>
        <v/>
      </c>
      <c r="H66" s="12" t="str">
        <f t="shared" si="22"/>
        <v/>
      </c>
      <c r="I66" s="12" t="str">
        <f>IF(H66="X",30*0.25,"")</f>
        <v/>
      </c>
      <c r="J66" s="12" t="str">
        <f t="shared" si="23"/>
        <v/>
      </c>
      <c r="K66" s="12" t="str">
        <f t="shared" si="24"/>
        <v/>
      </c>
    </row>
    <row r="67" spans="1:11" ht="24" customHeight="1" x14ac:dyDescent="0.3">
      <c r="A67" s="49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/>
      <c r="E67" s="12" t="str">
        <f>IF(D67="X",100*0.2,"")</f>
        <v/>
      </c>
      <c r="F67" s="12" t="s">
        <v>63</v>
      </c>
      <c r="G67" s="12">
        <f>IF(F67="X",60*0.2,"")</f>
        <v>12</v>
      </c>
      <c r="H67" s="12" t="str">
        <f t="shared" si="22"/>
        <v/>
      </c>
      <c r="I67" s="12" t="str">
        <f>IF(H67="X",30*0.2,"")</f>
        <v/>
      </c>
      <c r="J67" s="12" t="str">
        <f t="shared" si="23"/>
        <v/>
      </c>
      <c r="K67" s="12" t="str">
        <f t="shared" si="24"/>
        <v/>
      </c>
    </row>
    <row r="68" spans="1:11" ht="24" customHeight="1" x14ac:dyDescent="0.3">
      <c r="A68" s="49"/>
      <c r="B68" s="19" t="str">
        <f>RUBRICA!A7</f>
        <v>4. Expone el Proyecto APT, considerando el formato y el tiempo establecido para la presentación.</v>
      </c>
      <c r="C68" s="17" t="s">
        <v>8</v>
      </c>
      <c r="D68" s="12" t="str">
        <f t="shared" si="25"/>
        <v>X</v>
      </c>
      <c r="E68" s="12">
        <f>IF(D68="X",100*0.05,"")</f>
        <v>5</v>
      </c>
      <c r="F68" s="12" t="str">
        <f t="shared" si="26"/>
        <v/>
      </c>
      <c r="G68" s="12" t="str">
        <f>IF(F68="X",60*0.05,"")</f>
        <v/>
      </c>
      <c r="H68" s="12" t="str">
        <f t="shared" si="22"/>
        <v/>
      </c>
      <c r="I68" s="12" t="str">
        <f>IF(H68="X",30*0.05,"")</f>
        <v/>
      </c>
      <c r="J68" s="12" t="str">
        <f t="shared" si="23"/>
        <v/>
      </c>
      <c r="K68" s="12" t="str">
        <f t="shared" si="24"/>
        <v/>
      </c>
    </row>
    <row r="69" spans="1:11" ht="24" customHeight="1" x14ac:dyDescent="0.3">
      <c r="A69" s="49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 t="str">
        <f t="shared" si="25"/>
        <v>X</v>
      </c>
      <c r="E69" s="12">
        <f>IF(D69="X",100*0.05,"")</f>
        <v>5</v>
      </c>
      <c r="F69" s="12" t="str">
        <f t="shared" si="26"/>
        <v/>
      </c>
      <c r="G69" s="12" t="str">
        <f>IF(F69="X",60*0.05,"")</f>
        <v/>
      </c>
      <c r="H69" s="12" t="str">
        <f t="shared" si="22"/>
        <v/>
      </c>
      <c r="I69" s="12" t="str">
        <f>IF(H69="X",30*0.05,"")</f>
        <v/>
      </c>
      <c r="J69" s="12" t="str">
        <f t="shared" si="23"/>
        <v/>
      </c>
      <c r="K69" s="12" t="str">
        <f t="shared" si="24"/>
        <v/>
      </c>
    </row>
    <row r="70" spans="1:11" ht="24" customHeight="1" x14ac:dyDescent="0.3">
      <c r="A70" s="49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 t="str">
        <f t="shared" si="25"/>
        <v>X</v>
      </c>
      <c r="E70" s="12">
        <f>IF(D70="X",100*0.2,"")</f>
        <v>20</v>
      </c>
      <c r="F70" s="12" t="str">
        <f t="shared" si="26"/>
        <v/>
      </c>
      <c r="G70" s="12" t="str">
        <f>IF(F70="X",60*0.2,"")</f>
        <v/>
      </c>
      <c r="H70" s="12" t="str">
        <f t="shared" si="22"/>
        <v/>
      </c>
      <c r="I70" s="12" t="str">
        <f>IF(H70="X",30*0.2,"")</f>
        <v/>
      </c>
      <c r="J70" s="12" t="str">
        <f t="shared" si="23"/>
        <v/>
      </c>
      <c r="K70" s="12" t="str">
        <f t="shared" si="24"/>
        <v/>
      </c>
    </row>
    <row r="71" spans="1:11" ht="24" customHeight="1" x14ac:dyDescent="0.3">
      <c r="A71" s="49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 t="str">
        <f t="shared" si="25"/>
        <v>X</v>
      </c>
      <c r="E71" s="12">
        <f>IF(D71="X",100*0.1,"")</f>
        <v>10</v>
      </c>
      <c r="F71" s="12" t="str">
        <f t="shared" si="26"/>
        <v/>
      </c>
      <c r="G71" s="12" t="str">
        <f>IF(F71="X",60*0.1,"")</f>
        <v/>
      </c>
      <c r="H71" s="12" t="str">
        <f t="shared" si="22"/>
        <v/>
      </c>
      <c r="I71" s="12" t="str">
        <f>IF(H71="X",30*0.1,"")</f>
        <v/>
      </c>
      <c r="J71" s="12" t="str">
        <f t="shared" si="23"/>
        <v/>
      </c>
      <c r="K71" s="12" t="str">
        <f t="shared" si="24"/>
        <v/>
      </c>
    </row>
    <row r="72" spans="1:11" ht="24" customHeight="1" x14ac:dyDescent="0.35">
      <c r="A72" s="49"/>
      <c r="B72" s="18" t="s">
        <v>12</v>
      </c>
      <c r="C72" s="22">
        <f>E72+G72+I72+K72</f>
        <v>86</v>
      </c>
      <c r="D72" s="13"/>
      <c r="E72" s="13">
        <f>SUM(E65:E71)</f>
        <v>65</v>
      </c>
      <c r="F72" s="13"/>
      <c r="G72" s="13">
        <f>SUM(G65:G71)</f>
        <v>21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5">
      <c r="A73" s="50"/>
      <c r="B73" s="21" t="s">
        <v>13</v>
      </c>
      <c r="C73" s="14">
        <f>VLOOKUP(C72,ESCALA_IEP!A41:B241,2,FALSE)</f>
        <v>6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16</v>
      </c>
      <c r="B76" s="11" t="str">
        <f>B6</f>
        <v>IGNACIO ANDRES MORALES GONZALEZ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3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">
        <v>63</v>
      </c>
      <c r="G78" s="12">
        <f>IF(F78="X",60*0.15,"")</f>
        <v>9</v>
      </c>
      <c r="H78" s="12" t="str">
        <f t="shared" ref="H78:H82" si="27">IF($C78=ML,"X","")</f>
        <v/>
      </c>
      <c r="I78" s="12" t="str">
        <f>IF(H78="X",30*0.15,"")</f>
        <v/>
      </c>
      <c r="J78" s="12" t="str">
        <f t="shared" ref="J78:J82" si="28">IF($C78=NL,"X","")</f>
        <v/>
      </c>
      <c r="K78" s="12" t="str">
        <f t="shared" ref="K78:K84" si="29">IF($J78="X",0,"")</f>
        <v/>
      </c>
    </row>
    <row r="79" spans="1:11" ht="24" customHeight="1" x14ac:dyDescent="0.3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 t="str">
        <f t="shared" ref="D78:D82" si="30">IF($C79=CL,"X","")</f>
        <v>X</v>
      </c>
      <c r="E79" s="12">
        <f>IF(D79="X",100*0.25,"")</f>
        <v>25</v>
      </c>
      <c r="F79" s="12" t="str">
        <f t="shared" ref="F78:F82" si="31">IF($C79=L,"X","")</f>
        <v/>
      </c>
      <c r="G79" s="12" t="str">
        <f>IF(F79="X",60*0.25,"")</f>
        <v/>
      </c>
      <c r="H79" s="12" t="str">
        <f t="shared" si="27"/>
        <v/>
      </c>
      <c r="I79" s="12" t="str">
        <f>IF(H79="X",30*0.25,"")</f>
        <v/>
      </c>
      <c r="J79" s="12" t="str">
        <f t="shared" si="28"/>
        <v/>
      </c>
      <c r="K79" s="12" t="str">
        <f t="shared" si="29"/>
        <v/>
      </c>
    </row>
    <row r="80" spans="1:11" ht="24" customHeight="1" x14ac:dyDescent="0.3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">
        <v>63</v>
      </c>
      <c r="G80" s="12">
        <f>IF(F80="X",60*0.2,"")</f>
        <v>12</v>
      </c>
      <c r="H80" s="12" t="str">
        <f t="shared" si="27"/>
        <v/>
      </c>
      <c r="I80" s="12" t="str">
        <f>IF(H80="X",30*0.2,"")</f>
        <v/>
      </c>
      <c r="J80" s="12" t="str">
        <f t="shared" si="28"/>
        <v/>
      </c>
      <c r="K80" s="12" t="str">
        <f t="shared" si="29"/>
        <v/>
      </c>
    </row>
    <row r="81" spans="1:11" ht="24" customHeight="1" x14ac:dyDescent="0.3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 t="str">
        <f t="shared" si="30"/>
        <v>X</v>
      </c>
      <c r="E81" s="12">
        <f>IF(D81="X",100*0.05,"")</f>
        <v>5</v>
      </c>
      <c r="F81" s="12" t="str">
        <f t="shared" si="31"/>
        <v/>
      </c>
      <c r="G81" s="12" t="str">
        <f>IF(F81="X",60*0.05,"")</f>
        <v/>
      </c>
      <c r="H81" s="12" t="str">
        <f t="shared" si="27"/>
        <v/>
      </c>
      <c r="I81" s="12" t="str">
        <f>IF(H81="X",30*0.05,"")</f>
        <v/>
      </c>
      <c r="J81" s="12" t="str">
        <f t="shared" si="28"/>
        <v/>
      </c>
      <c r="K81" s="12" t="str">
        <f t="shared" si="29"/>
        <v/>
      </c>
    </row>
    <row r="82" spans="1:11" ht="24" customHeight="1" x14ac:dyDescent="0.3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 t="str">
        <f t="shared" si="30"/>
        <v>X</v>
      </c>
      <c r="E82" s="12">
        <f>IF(D82="X",100*0.05,"")</f>
        <v>5</v>
      </c>
      <c r="F82" s="12" t="str">
        <f t="shared" si="31"/>
        <v/>
      </c>
      <c r="G82" s="12" t="str">
        <f>IF(F82="X",60*0.05,"")</f>
        <v/>
      </c>
      <c r="H82" s="12" t="str">
        <f t="shared" si="27"/>
        <v/>
      </c>
      <c r="I82" s="12" t="str">
        <f>IF(H82="X",30*0.05,"")</f>
        <v/>
      </c>
      <c r="J82" s="12" t="str">
        <f t="shared" si="28"/>
        <v/>
      </c>
      <c r="K82" s="12" t="str">
        <f t="shared" si="29"/>
        <v/>
      </c>
    </row>
    <row r="83" spans="1:11" ht="24" customHeight="1" x14ac:dyDescent="0.3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9"/>
        <v/>
      </c>
    </row>
    <row r="84" spans="1:11" ht="24" customHeight="1" x14ac:dyDescent="0.3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9"/>
        <v/>
      </c>
    </row>
    <row r="85" spans="1:11" ht="24" customHeight="1" x14ac:dyDescent="0.35">
      <c r="A85" s="40"/>
      <c r="B85" s="18" t="s">
        <v>12</v>
      </c>
      <c r="C85" s="22">
        <f>E85+G85+I85+K85</f>
        <v>86</v>
      </c>
      <c r="D85" s="13"/>
      <c r="E85" s="13">
        <f>SUM(E78:E84)</f>
        <v>65</v>
      </c>
      <c r="F85" s="13"/>
      <c r="G85" s="13">
        <f>SUM(G78:G84)</f>
        <v>21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5">
      <c r="A86" s="42"/>
      <c r="B86" s="21" t="s">
        <v>13</v>
      </c>
      <c r="C86" s="14">
        <f>VLOOKUP(C85,ESCALA_IEP!A54:B254,2,FALSE)</f>
        <v>6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</sheetData>
  <sheetProtection algorithmName="SHA-512" hashValue="iH7vYvhsR4IBRRKyokzRI1jwfGMAyYwzycb9M8viDOmSpcy0TiG/bkVjPiIIJ79ful3OgKqUKvoQ14ZyAx9NIQ==" saltValue="Y0PuInkycj/yUCD14Zstcw==" spinCount="100000" sheet="1" objects="1" scenarios="1"/>
  <mergeCells count="42">
    <mergeCell ref="A49:A59"/>
    <mergeCell ref="C49:C50"/>
    <mergeCell ref="D49:K49"/>
    <mergeCell ref="D50:E50"/>
    <mergeCell ref="F50:G50"/>
    <mergeCell ref="H50:I50"/>
    <mergeCell ref="J50:K50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76:A86"/>
    <mergeCell ref="C76:C77"/>
    <mergeCell ref="D76:K76"/>
    <mergeCell ref="D77:E77"/>
    <mergeCell ref="F77:G77"/>
    <mergeCell ref="H77:I77"/>
    <mergeCell ref="J77:K77"/>
  </mergeCells>
  <conditionalFormatting sqref="C4:C7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7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C65:C71 C78:C84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zoomScale="80" zoomScaleNormal="80" workbookViewId="0">
      <selection activeCell="A6" sqref="A6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52" t="s">
        <v>17</v>
      </c>
      <c r="B1" s="54" t="s">
        <v>18</v>
      </c>
      <c r="C1" s="55"/>
      <c r="D1" s="55"/>
      <c r="E1" s="56"/>
      <c r="F1" s="52" t="s">
        <v>19</v>
      </c>
    </row>
    <row r="2" spans="1:6" x14ac:dyDescent="0.3">
      <c r="A2" s="53"/>
      <c r="B2" s="57" t="s">
        <v>20</v>
      </c>
      <c r="C2" s="57" t="s">
        <v>21</v>
      </c>
      <c r="D2" s="25" t="s">
        <v>22</v>
      </c>
      <c r="E2" s="26" t="s">
        <v>11</v>
      </c>
      <c r="F2" s="53"/>
    </row>
    <row r="3" spans="1:6" x14ac:dyDescent="0.3">
      <c r="A3" s="53"/>
      <c r="B3" s="58"/>
      <c r="C3" s="58"/>
      <c r="D3" s="27">
        <v>0.3</v>
      </c>
      <c r="E3" s="27">
        <v>0</v>
      </c>
      <c r="F3" s="53"/>
    </row>
    <row r="4" spans="1:6" ht="110.4" x14ac:dyDescent="0.3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4999999999999" customHeight="1" x14ac:dyDescent="0.3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3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96.6" x14ac:dyDescent="0.3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96.6" x14ac:dyDescent="0.3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96.6" x14ac:dyDescent="0.3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3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58</v>
      </c>
      <c r="B1" t="s">
        <v>59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9" t="s">
        <v>60</v>
      </c>
      <c r="B1" s="4" t="s">
        <v>12</v>
      </c>
      <c r="C1" s="5"/>
      <c r="D1" s="5"/>
      <c r="E1" s="6"/>
    </row>
    <row r="2" spans="1:5" ht="43.8" thickBot="1" x14ac:dyDescent="0.35">
      <c r="A2" s="60"/>
      <c r="B2" s="7" t="s">
        <v>8</v>
      </c>
      <c r="C2" s="8" t="s">
        <v>9</v>
      </c>
      <c r="D2" s="20" t="s">
        <v>61</v>
      </c>
      <c r="E2" s="38" t="s">
        <v>11</v>
      </c>
    </row>
    <row r="3" spans="1:5" ht="29.4" thickBot="1" x14ac:dyDescent="0.35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Lionel Pizarro M.</cp:lastModifiedBy>
  <cp:revision/>
  <dcterms:created xsi:type="dcterms:W3CDTF">2023-08-07T04:08:01Z</dcterms:created>
  <dcterms:modified xsi:type="dcterms:W3CDTF">2025-12-11T04:05:32Z</dcterms:modified>
  <cp:category/>
  <cp:contentStatus/>
</cp:coreProperties>
</file>